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7dab4787b342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要" sheetId="1" r:id="R442893540b07490f"/>
    <x:sheet xmlns:r="http://schemas.openxmlformats.org/officeDocument/2006/relationships" name="既存顧客データ" sheetId="2" r:id="Rc069a0afb45145df"/>
    <x:sheet xmlns:r="http://schemas.openxmlformats.org/officeDocument/2006/relationships" name="担当者マスタ" sheetId="3" r:id="Rea969ea3fb5c40f3"/>
    <x:sheet xmlns:r="http://schemas.openxmlformats.org/officeDocument/2006/relationships" name="カテゴリマスタ" sheetId="4" r:id="Rd41073fff4674808"/>
    <x:sheet xmlns:r="http://schemas.openxmlformats.org/officeDocument/2006/relationships" name="データ辞書" sheetId="5" r:id="R28dbb23356094c64"/>
    <x:sheet xmlns:r="http://schemas.openxmlformats.org/officeDocument/2006/relationships" name="演習ケース一覧" sheetId="6" r:id="Rb3b2758b1f6043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left" vertical="top"/>
    </x:xf>
    <x:xf numFmtId="0" fontId="1" fillId="2" borderId="1" xfId="0" applyNumberFormat="1" applyFont="1" applyFill="1" applyBorder="1" applyAlignment="1">
      <x:alignment horizontal="left"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left" vertical="top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/>
    </x:xf>
    <x:xf numFmtId="0" fontId="0" fillId="4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/>
    </x:xf>
  </x:cellXfs>
  <x:cellStyles count="1">
    <x:cellStyle name="Normal" xfId="0"/>
  </x:cellStyles>
  <x:dxfs count="1">
    <x:dxf>
      <x:font>
        <x:b/>
        <x:color rgb="FFB91C1C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66f690d50f44a1" /><Relationship Type="http://schemas.openxmlformats.org/officeDocument/2006/relationships/theme" Target="/xl/theme/theme1.xml" Id="R0c60b3d12d294ff8" /><Relationship Type="http://schemas.microsoft.com/office/2022/11/relationships/FeaturePropertyBag" Target="/xl/featurePropertyBag/featurePropertyBag.xml" Id="Rbbaa022e230e41d8" /><Relationship Type="http://schemas.openxmlformats.org/officeDocument/2006/relationships/sharedStrings" Target="/xl/sharedStrings.xml" Id="Rf287d747fe874f05" /><Relationship Type="http://schemas.openxmlformats.org/officeDocument/2006/relationships/worksheet" Target="/xl/worksheets/sheet1.xml" Id="R442893540b07490f" /><Relationship Type="http://schemas.openxmlformats.org/officeDocument/2006/relationships/worksheet" Target="/xl/worksheets/sheet2.xml" Id="Rc069a0afb45145df" /><Relationship Type="http://schemas.openxmlformats.org/officeDocument/2006/relationships/worksheet" Target="/xl/worksheets/sheet3.xml" Id="Rea969ea3fb5c40f3" /><Relationship Type="http://schemas.openxmlformats.org/officeDocument/2006/relationships/worksheet" Target="/xl/worksheets/sheet4.xml" Id="Rd41073fff4674808" /><Relationship Type="http://schemas.openxmlformats.org/officeDocument/2006/relationships/worksheet" Target="/xl/worksheets/sheet5.xml" Id="R28dbb23356094c64" /><Relationship Type="http://schemas.openxmlformats.org/officeDocument/2006/relationships/worksheet" Target="/xl/worksheets/sheet6.xml" Id="Rb3b2758b1f60435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3" name="LegacyCustomersTable" displayName="LegacyCustomersTable" ref="A1:M41" headerRowCount="1" totalsRowCount="0" totalsRowShown="0">
  <x:tableColumns count="13">
    <x:tableColumn id="1" name="顧客番号"/>
    <x:tableColumn id="2" name="顧客名"/>
    <x:tableColumn id="3" name="顧客名カナ"/>
    <x:tableColumn id="4" name="メールアドレス"/>
    <x:tableColumn id="5" name="電話番号"/>
    <x:tableColumn id="6" name="住所"/>
    <x:tableColumn id="7" name="顧客区分コード"/>
    <x:tableColumn id="8" name="担当者メール"/>
    <x:tableColumn id="9" name="登録日時"/>
    <x:tableColumn id="10" name="更新日時"/>
    <x:tableColumn id="11" name="削除フラグ"/>
    <x:tableColumn id="12" name="削除日時"/>
    <x:tableColumn id="13" name="備考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OwnersTable" displayName="OwnersTable" ref="A1:E9" headerRowCount="1" totalsRowCount="0" totalsRowShown="0">
  <x:tableColumns count="5">
    <x:tableColumn id="1" name="担当者メール"/>
    <x:tableColumn id="2" name="表示名"/>
    <x:tableColumn id="3" name="role"/>
    <x:tableColumn id="4" name="active"/>
    <x:tableColumn id="5" name="備考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CategoryTable" displayName="CategoryTable" ref="A1:C5" headerRowCount="1" totalsRowCount="0" totalsRowShown="0">
  <x:tableColumns count="3">
    <x:tableColumn id="1" name="顧客区分コード"/>
    <x:tableColumn id="2" name="Target category"/>
    <x:tableColumn id="3" name="備考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ictionaryTable" displayName="DictionaryTable" ref="A1:J14" headerRowCount="1" totalsRowCount="0" totalsRowShown="0">
  <x:tableColumns count="10">
    <x:tableColumn id="1" name="Source列"/>
    <x:tableColumn id="2" name="意味"/>
    <x:tableColumn id="3" name="想定型"/>
    <x:tableColumn id="4" name="必須/任意"/>
    <x:tableColumn id="5" name="例"/>
    <x:tableColumn id="6" name="Target"/>
    <x:tableColumn id="7" name="変換方針"/>
    <x:tableColumn id="8" name="検証"/>
    <x:tableColumn id="9" name="暗号化"/>
    <x:tableColumn id="10" name="備考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xerciseCasesTable" displayName="ExerciseCasesTable" ref="A1:E9" headerRowCount="1" totalsRowCount="0" totalsRowShown="0">
  <x:tableColumns count="5">
    <x:tableColumn id="1" name="ケース"/>
    <x:tableColumn id="2" name="Source顧客番号"/>
    <x:tableColumn id="3" name="想定論点"/>
    <x:tableColumn id="4" name="移行時の期待"/>
    <x:tableColumn id="5" name="備考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712ec03952d40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1b7c33d933941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172394f1c2e41e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e35e87375ca448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fd6dfa5d779484f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3" max="3" width="4" hidden="0" customWidth="1"/>
    <x:col min="4" max="4" width="22" hidden="0" customWidth="1"/>
    <x:col min="5" max="5" width="16" hidden="0" customWidth="1"/>
    <x:col min="6" max="6" width="12" hidden="0" customWidth="1"/>
  </x:cols>
  <x:sheetData>
    <x:row r="1" ht="28" customHeight="1">
      <x:c r="A1" s="38" t="str">
        <x:v>SDD演習用：既存顧客データ移行サンプル</x:v>
      </x:c>
      <x:c r="B1" s="38"/>
      <x:c r="C1" s="38"/>
      <x:c r="D1" s="38"/>
      <x:c r="E1" s="38"/>
      <x:c r="F1" s="38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40" t="str">
        <x:v>項目</x:v>
      </x:c>
      <x:c r="B3" s="40" t="str">
        <x:v>内容</x:v>
      </x:c>
      <x:c r="C3" s="39"/>
      <x:c r="D3" s="40" t="str">
        <x:v>集計</x:v>
      </x:c>
      <x:c r="E3" s="40" t="str">
        <x:v>値</x:v>
      </x:c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1" t="str">
        <x:v>目的</x:v>
      </x:c>
      <x:c r="B4" s="41" t="str">
        <x:v>既存Excel顧客データをPostgreSQLへ移行するSDD演習用サンプル</x:v>
      </x:c>
      <x:c r="C4" s="39"/>
      <x:c r="D4" s="39" t="str">
        <x:v>顧客record数</x:v>
      </x:c>
      <x:c r="E4" s="39" t="n">
        <x:f>COUNTA('既存顧客データ'!A2:A1000)</x:f>
        <x:v>40</x:v>
      </x:c>
      <x:c r="F4" s="39"/>
      <x:c r="G4" s="39"/>
      <x:c r="H4" s="39"/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1" t="str">
        <x:v>Target ID</x:v>
      </x:c>
      <x:c r="B5" s="41" t="str">
        <x:v>移行時に新UUIDを採番。Source顧客番号は移行照合用の業務キーとして使用</x:v>
      </x:c>
      <x:c r="C5" s="39"/>
      <x:c r="D5" s="39" t="str">
        <x:v>削除フラグ=0</x:v>
      </x:c>
      <x:c r="E5" s="39" t="n">
        <x:f>COUNTIF('既存顧客データ'!K2:K1000,0)</x:f>
        <x:v>36</x:v>
      </x:c>
      <x:c r="F5" s="39"/>
      <x:c r="G5" s="39"/>
      <x:c r="H5" s="39"/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1" t="str">
        <x:v>Owner mapping</x:v>
      </x:c>
      <x:c r="B6" s="41" t="str">
        <x:v>担当者メールをusers.emailと照合し、users.idをowner_user_idへ設定</x:v>
      </x:c>
      <x:c r="C6" s="39"/>
      <x:c r="D6" s="39" t="str">
        <x:v>削除フラグ=1</x:v>
      </x:c>
      <x:c r="E6" s="39" t="n">
        <x:f>COUNTIF('既存顧客データ'!K2:K1000,1)</x:f>
        <x:v>4</x:v>
      </x:c>
      <x:c r="F6" s="39"/>
      <x:c r="G6" s="39"/>
      <x:c r="H6" s="39"/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1" t="str">
        <x:v>不正record</x:v>
      </x:c>
      <x:c r="B7" s="41" t="str">
        <x:v>reject対象として分離し、正常recordはbatch単位でcommit</x:v>
      </x:c>
      <x:c r="C7" s="39"/>
      <x:c r="D7" s="39" t="str">
        <x:v>顧客名空欄</x:v>
      </x:c>
      <x:c r="E7" s="39" t="n">
        <x:f>COUNTBLANK('既存顧客データ'!B2:B41)</x:f>
        <x:v>1</x:v>
      </x:c>
      <x:c r="F7" s="39"/>
      <x:c r="G7" s="39"/>
      <x:c r="H7" s="39"/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41" t="str">
        <x:v>突合</x:v>
      </x:c>
      <x:c r="B8" s="41" t="str">
        <x:v>source件数 / 成功件数 / reject件数 / target件数を照合</x:v>
      </x:c>
      <x:c r="C8" s="39"/>
      <x:c r="D8" s="39" t="str">
        <x:v>担当者メール空欄</x:v>
      </x:c>
      <x:c r="E8" s="39" t="n">
        <x:f>COUNTBLANK('既存顧客データ'!H2:H41)</x:f>
        <x:v>1</x:v>
      </x:c>
      <x:c r="F8" s="39"/>
      <x:c r="G8" s="39"/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41" t="str">
        <x:v>暗号化</x:v>
      </x:c>
      <x:c r="B9" s="41" t="str">
        <x:v>name_kana / email / phone / addressはDB write前にAES-256-GCMで暗号化</x:v>
      </x:c>
      <x:c r="C9" s="39"/>
      <x:c r="D9" s="39" t="str">
        <x:v>想定エラーケース数</x:v>
      </x:c>
      <x:c r="E9" s="39" t="n">
        <x:f>COUNTA('演習ケース一覧'!A2:A100)</x:f>
        <x:v>8</x:v>
      </x:c>
      <x:c r="F9" s="39"/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41" t="str">
        <x:v>注意</x:v>
      </x:c>
      <x:c r="B10" s="41" t="str">
        <x:v>本ファイルは演習用の架空データ。実個人情報は含みません。</x:v>
      </x:c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42" t="str">
        <x:v>演習上の前提</x:v>
      </x:c>
      <x:c r="B12" s="42"/>
      <x:c r="C12" s="42"/>
      <x:c r="D12" s="42"/>
      <x:c r="E12" s="42"/>
      <x:c r="F12" s="42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41" t="str">
        <x:v>1</x:v>
      </x:c>
      <x:c r="B13" s="41" t="str">
        <x:v>TargetのidはSource顧客番号を引き継がず、新UUIDを発行します。</x:v>
      </x:c>
      <x:c r="C13" s="41" t="str"/>
      <x:c r="D13" s="41" t="str"/>
      <x:c r="E13" s="41" t="str"/>
      <x:c r="F13" s="41" t="str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41" t="str">
        <x:v>2</x:v>
      </x:c>
      <x:c r="B14" s="41" t="str">
        <x:v>owner_user_idは担当者メールをusers.emailへ照合して取得します。</x:v>
      </x:c>
      <x:c r="C14" s="41" t="str"/>
      <x:c r="D14" s="41" t="str"/>
      <x:c r="E14" s="41" t="str"/>
      <x:c r="F14" s="41" t="str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41" t="str">
        <x:v>3</x:v>
      </x:c>
      <x:c r="B15" s="41" t="str">
        <x:v>不正recordはrejectし、正常recordのみbatch単位でcommitします。</x:v>
      </x:c>
      <x:c r="C15" s="41" t="str"/>
      <x:c r="D15" s="41" t="str"/>
      <x:c r="E15" s="41" t="str"/>
      <x:c r="F15" s="41" t="str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41" t="str">
        <x:v>4</x:v>
      </x:c>
      <x:c r="B16" s="41" t="str">
        <x:v>移行後はsource / migrated / rejected / target件数を突合します。</x:v>
      </x:c>
      <x:c r="C16" s="41" t="str"/>
      <x:c r="D16" s="41" t="str"/>
      <x:c r="E16" s="41" t="str"/>
      <x:c r="F16" s="41" t="str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41" t="str">
        <x:v>5</x:v>
      </x:c>
      <x:c r="B17" s="41" t="str">
        <x:v>Source顧客番号はtarget Customer列には保存せず、移行結果・rejectの照合キーとして使用します。</x:v>
      </x:c>
      <x:c r="C17" s="41" t="str"/>
      <x:c r="D17" s="41" t="str"/>
      <x:c r="E17" s="41" t="str"/>
      <x:c r="F17" s="41" t="str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</x:sheetData>
  <x:mergeCells>
    <x:mergeCell ref="A1:F1"/>
    <x:mergeCell ref="A12:F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8" hidden="0" customWidth="1"/>
    <x:col min="4" max="4" width="28" hidden="0" customWidth="1"/>
    <x:col min="5" max="5" width="18" hidden="0" customWidth="1"/>
    <x:col min="6" max="6" width="28" hidden="0" customWidth="1"/>
    <x:col min="7" max="7" width="14" hidden="0" customWidth="1"/>
    <x:col min="8" max="8" width="28" hidden="0" customWidth="1"/>
    <x:col min="9" max="9" width="19" hidden="0" customWidth="1"/>
    <x:col min="10" max="10" width="19" hidden="0" customWidth="1"/>
    <x:col min="11" max="11" width="11" hidden="0" customWidth="1"/>
    <x:col min="12" max="12" width="19" hidden="0" customWidth="1"/>
    <x:col min="13" max="13" width="34" hidden="0" customWidth="1"/>
    <x:col min="15" max="15" width="4" hidden="0" customWidth="1"/>
    <x:col min="16" max="16" width="46" hidden="0" customWidth="1"/>
    <x:col min="17" max="17" width="4" hidden="0" customWidth="1"/>
  </x:cols>
  <x:sheetData>
    <x:row r="1">
      <x:c r="A1" s="40" t="str">
        <x:v>顧客番号</x:v>
      </x:c>
      <x:c r="B1" s="40" t="str">
        <x:v>顧客名</x:v>
      </x:c>
      <x:c r="C1" s="40" t="str">
        <x:v>顧客名カナ</x:v>
      </x:c>
      <x:c r="D1" s="40" t="str">
        <x:v>メールアドレス</x:v>
      </x:c>
      <x:c r="E1" s="40" t="str">
        <x:v>電話番号</x:v>
      </x:c>
      <x:c r="F1" s="40" t="str">
        <x:v>住所</x:v>
      </x:c>
      <x:c r="G1" s="40" t="str">
        <x:v>顧客区分コード</x:v>
      </x:c>
      <x:c r="H1" s="40" t="str">
        <x:v>担当者メール</x:v>
      </x:c>
      <x:c r="I1" s="40" t="str">
        <x:v>登録日時</x:v>
      </x:c>
      <x:c r="J1" s="40" t="str">
        <x:v>更新日時</x:v>
      </x:c>
      <x:c r="K1" s="40" t="str">
        <x:v>削除フラグ</x:v>
      </x:c>
      <x:c r="L1" s="40" t="str">
        <x:v>削除日時</x:v>
      </x:c>
      <x:c r="M1" s="40" t="str">
        <x:v>備考</x:v>
      </x:c>
      <x:c r="N1" s="39"/>
      <x:c r="O1" s="26" t="str">
        <x:v>演習用メモ</x:v>
      </x:c>
      <x:c r="P1" s="26"/>
      <x:c r="Q1" s="26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41" t="str">
        <x:v>CUST-0001</x:v>
      </x:c>
      <x:c r="B2" s="41" t="str">
        <x:v>青葉商事株式会社01</x:v>
      </x:c>
      <x:c r="C2" s="41" t="str">
        <x:v>アオバショウジカブシキガイシャ01</x:v>
      </x:c>
      <x:c r="D2" s="41" t="str">
        <x:v>customer01@example.test</x:v>
      </x:c>
      <x:c r="E2" s="41" t="str">
        <x:v>03-5000-1001</x:v>
      </x:c>
      <x:c r="F2" s="41" t="str">
        <x:v>東京都架空区サンプル1丁目1番地</x:v>
      </x:c>
      <x:c r="G2" s="41" t="str">
        <x:v>A</x:v>
      </x:c>
      <x:c r="H2" s="41" t="str">
        <x:v>staff01@example.test</x:v>
      </x:c>
      <x:c r="I2" s="48" t="n">
        <x:v>45673.375</x:v>
      </x:c>
      <x:c r="J2" s="48" t="n">
        <x:v>45674.375</x:v>
      </x:c>
      <x:c r="K2" s="41" t="n">
        <x:v>0</x:v>
      </x:c>
      <x:c r="L2" s="48"/>
      <x:c r="M2" s="41" t="str">
        <x:v>通常データ</x:v>
      </x:c>
      <x:c r="N2" s="39"/>
      <x:c r="O2" s="41" t="str">
        <x:v>・</x:v>
      </x:c>
      <x:c r="P2" s="41" t="str">
        <x:v>Source顧客番号はTarget idには使わず、新UUID採番を想定</x:v>
      </x:c>
      <x:c r="Q2" s="41" t="str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41" t="str">
        <x:v>CUST-0002</x:v>
      </x:c>
      <x:c r="B3" s="41" t="str">
        <x:v>北斗システムズ株式会社02</x:v>
      </x:c>
      <x:c r="C3" s="41" t="str">
        <x:v>ホクトシステムズカブシキガイシャ02</x:v>
      </x:c>
      <x:c r="D3" s="41" t="str">
        <x:v>customer02@example.test</x:v>
      </x:c>
      <x:c r="E3" s="41" t="str">
        <x:v>03-5000-1002</x:v>
      </x:c>
      <x:c r="F3" s="41" t="str">
        <x:v>東京都架空区サンプル2丁目2番地</x:v>
      </x:c>
      <x:c r="G3" s="41" t="str">
        <x:v>B</x:v>
      </x:c>
      <x:c r="H3" s="41" t="str">
        <x:v>staff02@example.test</x:v>
      </x:c>
      <x:c r="I3" s="48" t="n">
        <x:v>45674.375</x:v>
      </x:c>
      <x:c r="J3" s="48" t="n">
        <x:v>45676.375</x:v>
      </x:c>
      <x:c r="K3" s="41" t="n">
        <x:v>0</x:v>
      </x:c>
      <x:c r="L3" s="48"/>
      <x:c r="M3" s="41" t="str">
        <x:v>通常データ</x:v>
      </x:c>
      <x:c r="N3" s="39"/>
      <x:c r="O3" s="41" t="str">
        <x:v>・</x:v>
      </x:c>
      <x:c r="P3" s="41" t="str">
        <x:v>担当者メール→users.email→users.idでownerをmapping</x:v>
      </x:c>
      <x:c r="Q3" s="41" t="str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1" t="str">
        <x:v>CUST-0003</x:v>
      </x:c>
      <x:c r="B4" s="41" t="str">
        <x:v>桜井企画03</x:v>
      </x:c>
      <x:c r="C4" s="41" t="str">
        <x:v>サクライキカク03</x:v>
      </x:c>
      <x:c r="D4" s="41" t="str">
        <x:v>customer03@example.test</x:v>
      </x:c>
      <x:c r="E4" s="41" t="str">
        <x:v>03-5000-1003</x:v>
      </x:c>
      <x:c r="F4" s="41" t="str">
        <x:v>東京都架空区サンプル3丁目3番地</x:v>
      </x:c>
      <x:c r="G4" s="41" t="str">
        <x:v>C</x:v>
      </x:c>
      <x:c r="H4" s="41" t="str">
        <x:v>staff03@example.test</x:v>
      </x:c>
      <x:c r="I4" s="48" t="n">
        <x:v>45675.375</x:v>
      </x:c>
      <x:c r="J4" s="48" t="n">
        <x:v>45678.375</x:v>
      </x:c>
      <x:c r="K4" s="41" t="n">
        <x:v>0</x:v>
      </x:c>
      <x:c r="L4" s="48"/>
      <x:c r="M4" s="41" t="str">
        <x:v>通常データ</x:v>
      </x:c>
      <x:c r="N4" s="39"/>
      <x:c r="O4" s="41" t="str">
        <x:v>・</x:v>
      </x:c>
      <x:c r="P4" s="41" t="str">
        <x:v>正常recordはbatch commit、不正recordはreject</x:v>
      </x:c>
      <x:c r="Q4" s="41" t="str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1" t="str">
        <x:v>CUST-0004</x:v>
      </x:c>
      <x:c r="B5" s="41" t="str">
        <x:v>みなと物産04</x:v>
      </x:c>
      <x:c r="C5" s="41" t="str">
        <x:v>ミナトブッサン04</x:v>
      </x:c>
      <x:c r="D5" s="41" t="str">
        <x:v>customer04@example.test</x:v>
      </x:c>
      <x:c r="E5" s="41" t="str">
        <x:v>03-5000-1004</x:v>
      </x:c>
      <x:c r="F5" s="41" t="str">
        <x:v>東京都架空区サンプル4丁目4番地</x:v>
      </x:c>
      <x:c r="G5" s="41" t="str">
        <x:v>D</x:v>
      </x:c>
      <x:c r="H5" s="41" t="str">
        <x:v>staff04@example.test</x:v>
      </x:c>
      <x:c r="I5" s="48" t="n">
        <x:v>45676.375</x:v>
      </x:c>
      <x:c r="J5" s="48" t="n">
        <x:v>45680.375</x:v>
      </x:c>
      <x:c r="K5" s="41" t="n">
        <x:v>0</x:v>
      </x:c>
      <x:c r="L5" s="48"/>
      <x:c r="M5" s="41" t="str">
        <x:v>通常データ</x:v>
      </x:c>
      <x:c r="N5" s="39"/>
      <x:c r="O5" s="41" t="str">
        <x:v>・</x:v>
      </x:c>
      <x:c r="P5" s="41" t="str">
        <x:v>暗号化対象fieldはDB write直前に暗号化</x:v>
      </x:c>
      <x:c r="Q5" s="41" t="str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1" t="str">
        <x:v>CUST-0005</x:v>
      </x:c>
      <x:c r="B6" s="41" t="str">
        <x:v>東都サービス株式会社05</x:v>
      </x:c>
      <x:c r="C6" s="41" t="str">
        <x:v>トウトサービスカブシキガイシャ05</x:v>
      </x:c>
      <x:c r="D6" s="41" t="str">
        <x:v>customer05@example.test</x:v>
      </x:c>
      <x:c r="E6" s="41"/>
      <x:c r="F6" s="41" t="str">
        <x:v>東京都架空区サンプル5丁目5番地</x:v>
      </x:c>
      <x:c r="G6" s="41" t="str">
        <x:v>A</x:v>
      </x:c>
      <x:c r="H6" s="41" t="str">
        <x:v>staff05@example.test</x:v>
      </x:c>
      <x:c r="I6" s="48" t="n">
        <x:v>45677.375</x:v>
      </x:c>
      <x:c r="J6" s="48" t="n">
        <x:v>45682.375</x:v>
      </x:c>
      <x:c r="K6" s="41" t="n">
        <x:v>0</x:v>
      </x:c>
      <x:c r="L6" s="48"/>
      <x:c r="M6" s="41" t="str">
        <x:v>通常データ</x:v>
      </x:c>
      <x:c r="N6" s="39"/>
      <x:c r="O6" s="41" t="str">
        <x:v>・</x:v>
      </x:c>
      <x:c r="P6" s="41" t="str">
        <x:v>移行後にsource / success / reject / target件数を突合</x:v>
      </x:c>
      <x:c r="Q6" s="41" t="str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1" t="str">
        <x:v>CUST-0006</x:v>
      </x:c>
      <x:c r="B7" s="41" t="str">
        <x:v>西山電機06</x:v>
      </x:c>
      <x:c r="C7" s="41" t="str">
        <x:v>ニシヤマデンキ06</x:v>
      </x:c>
      <x:c r="D7" s="41"/>
      <x:c r="E7" s="41" t="str">
        <x:v>03-5000-1006</x:v>
      </x:c>
      <x:c r="F7" s="41" t="str">
        <x:v>東京都架空区サンプル6丁目6番地</x:v>
      </x:c>
      <x:c r="G7" s="41" t="str">
        <x:v>B</x:v>
      </x:c>
      <x:c r="H7" s="41" t="str">
        <x:v>staff01@example.test</x:v>
      </x:c>
      <x:c r="I7" s="48" t="n">
        <x:v>45678.375</x:v>
      </x:c>
      <x:c r="J7" s="48" t="n">
        <x:v>45684.375</x:v>
      </x:c>
      <x:c r="K7" s="41" t="n">
        <x:v>0</x:v>
      </x:c>
      <x:c r="L7" s="48"/>
      <x:c r="M7" s="41" t="str">
        <x:v>通常データ</x:v>
      </x:c>
      <x:c r="N7" s="39"/>
      <x:c r="O7" s="41" t="str">
        <x:v>・</x:v>
      </x:c>
      <x:c r="P7" s="41" t="str">
        <x:v>異常データの詳細は「演習ケース一覧」を参照</x:v>
      </x:c>
      <x:c r="Q7" s="41" t="str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41" t="str">
        <x:v>CUST-0007</x:v>
      </x:c>
      <x:c r="B8" s="41" t="str">
        <x:v>大空物流株式会社07</x:v>
      </x:c>
      <x:c r="C8" s="41" t="str">
        <x:v>オオゾラブツリュウカブシキガイシャ07</x:v>
      </x:c>
      <x:c r="D8" s="41" t="str">
        <x:v>customer07@example.test</x:v>
      </x:c>
      <x:c r="E8" s="41" t="str">
        <x:v>03-5000-1007</x:v>
      </x:c>
      <x:c r="F8" s="41"/>
      <x:c r="G8" s="41" t="str">
        <x:v>C</x:v>
      </x:c>
      <x:c r="H8" s="41" t="str">
        <x:v>staff02@example.test</x:v>
      </x:c>
      <x:c r="I8" s="48" t="n">
        <x:v>45679.375</x:v>
      </x:c>
      <x:c r="J8" s="48" t="n">
        <x:v>45686.375</x:v>
      </x:c>
      <x:c r="K8" s="41" t="n">
        <x:v>0</x:v>
      </x:c>
      <x:c r="L8" s="48"/>
      <x:c r="M8" s="41" t="str">
        <x:v>通常データ</x:v>
      </x:c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41" t="str">
        <x:v>CUST-0008</x:v>
      </x:c>
      <x:c r="B9" s="41" t="str">
        <x:v>中央デザイン08</x:v>
      </x:c>
      <x:c r="C9" s="41" t="str">
        <x:v>チュウオウデザイン08</x:v>
      </x:c>
      <x:c r="D9" s="41" t="str">
        <x:v>customer08@example.test</x:v>
      </x:c>
      <x:c r="E9" s="41" t="str">
        <x:v>03-5000-1008</x:v>
      </x:c>
      <x:c r="F9" s="41" t="str">
        <x:v>東京都架空区サンプル8丁目8番地</x:v>
      </x:c>
      <x:c r="G9" s="41" t="str">
        <x:v>D</x:v>
      </x:c>
      <x:c r="H9" s="41" t="str">
        <x:v>staff03@example.test</x:v>
      </x:c>
      <x:c r="I9" s="48" t="n">
        <x:v>45680.375</x:v>
      </x:c>
      <x:c r="J9" s="48" t="n">
        <x:v>45688.375</x:v>
      </x:c>
      <x:c r="K9" s="41" t="n">
        <x:v>0</x:v>
      </x:c>
      <x:c r="L9" s="48"/>
      <x:c r="M9" s="41" t="str">
        <x:v>通常データ</x:v>
      </x:c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41" t="str">
        <x:v>CUST-0009</x:v>
      </x:c>
      <x:c r="B10" s="41" t="str">
        <x:v>若葉フーズ株式会社09</x:v>
      </x:c>
      <x:c r="C10" s="41" t="str">
        <x:v>ワカバフーズカブシキガイシャ09</x:v>
      </x:c>
      <x:c r="D10" s="41" t="str">
        <x:v>customer09@example.test</x:v>
      </x:c>
      <x:c r="E10" s="41" t="str">
        <x:v>03-5000-1009</x:v>
      </x:c>
      <x:c r="F10" s="41" t="str">
        <x:v>東京都架空区サンプル9丁目9番地</x:v>
      </x:c>
      <x:c r="G10" s="41" t="str">
        <x:v>A</x:v>
      </x:c>
      <x:c r="H10" s="41" t="str">
        <x:v>staff04@example.test</x:v>
      </x:c>
      <x:c r="I10" s="48" t="n">
        <x:v>45681.375</x:v>
      </x:c>
      <x:c r="J10" s="48" t="n">
        <x:v>45681.375</x:v>
      </x:c>
      <x:c r="K10" s="41" t="n">
        <x:v>1</x:v>
      </x:c>
      <x:c r="L10" s="48" t="n">
        <x:v>45686.375</x:v>
      </x:c>
      <x:c r="M10" s="41" t="str">
        <x:v>通常データ</x:v>
      </x:c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41" t="str">
        <x:v>CUST-0010</x:v>
      </x:c>
      <x:c r="B11" s="41" t="str">
        <x:v>光洋テクノ10</x:v>
      </x:c>
      <x:c r="C11" s="41" t="str">
        <x:v>コウヨウテクノ10</x:v>
      </x:c>
      <x:c r="D11" s="41" t="str">
        <x:v>customer10@example.test</x:v>
      </x:c>
      <x:c r="E11" s="41"/>
      <x:c r="F11" s="41" t="str">
        <x:v>東京都架空区サンプル10丁目10番地</x:v>
      </x:c>
      <x:c r="G11" s="41" t="str">
        <x:v>B</x:v>
      </x:c>
      <x:c r="H11" s="41" t="str">
        <x:v>staff05@example.test</x:v>
      </x:c>
      <x:c r="I11" s="48" t="n">
        <x:v>45682.375</x:v>
      </x:c>
      <x:c r="J11" s="48" t="n">
        <x:v>45683.375</x:v>
      </x:c>
      <x:c r="K11" s="41" t="n">
        <x:v>0</x:v>
      </x:c>
      <x:c r="L11" s="48"/>
      <x:c r="M11" s="41" t="str">
        <x:v>通常データ</x:v>
      </x:c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41" t="str">
        <x:v>CUST-0011</x:v>
      </x:c>
      <x:c r="B12" s="41" t="str">
        <x:v>青葉商事株式会社11</x:v>
      </x:c>
      <x:c r="C12" s="41" t="str">
        <x:v>アオバショウジカブシキガイシャ11</x:v>
      </x:c>
      <x:c r="D12" s="41" t="str">
        <x:v>customer11@example.test</x:v>
      </x:c>
      <x:c r="E12" s="41" t="str">
        <x:v>03-5000-1011</x:v>
      </x:c>
      <x:c r="F12" s="41" t="str">
        <x:v>東京都架空区サンプル11丁目11番地</x:v>
      </x:c>
      <x:c r="G12" s="41" t="str">
        <x:v>C</x:v>
      </x:c>
      <x:c r="H12" s="41" t="str">
        <x:v>staff01@example.test</x:v>
      </x:c>
      <x:c r="I12" s="48" t="n">
        <x:v>45683.375</x:v>
      </x:c>
      <x:c r="J12" s="48" t="n">
        <x:v>45685.375</x:v>
      </x:c>
      <x:c r="K12" s="41" t="n">
        <x:v>0</x:v>
      </x:c>
      <x:c r="L12" s="48"/>
      <x:c r="M12" s="41" t="str">
        <x:v>通常データ</x:v>
      </x:c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41" t="str">
        <x:v>CUST-0012</x:v>
      </x:c>
      <x:c r="B13" s="41" t="str">
        <x:v>北斗システムズ株式会社12</x:v>
      </x:c>
      <x:c r="C13" s="41" t="str">
        <x:v>ホクトシステムズカブシキガイシャ12</x:v>
      </x:c>
      <x:c r="D13" s="41"/>
      <x:c r="E13" s="41" t="str">
        <x:v>03-5000-1012</x:v>
      </x:c>
      <x:c r="F13" s="41" t="str">
        <x:v>東京都架空区サンプル12丁目12番地</x:v>
      </x:c>
      <x:c r="G13" s="41" t="str">
        <x:v>D</x:v>
      </x:c>
      <x:c r="H13" s="41" t="str">
        <x:v>staff02@example.test</x:v>
      </x:c>
      <x:c r="I13" s="48" t="n">
        <x:v>45684.375</x:v>
      </x:c>
      <x:c r="J13" s="48" t="n">
        <x:v>45687.375</x:v>
      </x:c>
      <x:c r="K13" s="41" t="n">
        <x:v>0</x:v>
      </x:c>
      <x:c r="L13" s="48"/>
      <x:c r="M13" s="41" t="str">
        <x:v>通常データ</x:v>
      </x:c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41" t="str">
        <x:v>CUST-0013</x:v>
      </x:c>
      <x:c r="B14" s="41" t="str">
        <x:v>桜井企画13</x:v>
      </x:c>
      <x:c r="C14" s="41" t="str">
        <x:v>サクライキカク13</x:v>
      </x:c>
      <x:c r="D14" s="41" t="str">
        <x:v>customer13@example.test</x:v>
      </x:c>
      <x:c r="E14" s="41" t="str">
        <x:v>03-5000-1013</x:v>
      </x:c>
      <x:c r="F14" s="41" t="str">
        <x:v>東京都架空区サンプル13丁目13番地</x:v>
      </x:c>
      <x:c r="G14" s="41" t="str">
        <x:v>A</x:v>
      </x:c>
      <x:c r="H14" s="41" t="str">
        <x:v>staff03@example.test</x:v>
      </x:c>
      <x:c r="I14" s="48" t="n">
        <x:v>45685.375</x:v>
      </x:c>
      <x:c r="J14" s="48" t="n">
        <x:v>45689.375</x:v>
      </x:c>
      <x:c r="K14" s="41" t="n">
        <x:v>0</x:v>
      </x:c>
      <x:c r="L14" s="48"/>
      <x:c r="M14" s="41" t="str">
        <x:v>通常データ</x:v>
      </x:c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41" t="str">
        <x:v>CUST-0014</x:v>
      </x:c>
      <x:c r="B15" s="41" t="str">
        <x:v>みなと物産14</x:v>
      </x:c>
      <x:c r="C15" s="41" t="str">
        <x:v>ミナトブッサン14</x:v>
      </x:c>
      <x:c r="D15" s="41" t="str">
        <x:v>customer14@example.test</x:v>
      </x:c>
      <x:c r="E15" s="41" t="str">
        <x:v>03-5000-1014</x:v>
      </x:c>
      <x:c r="F15" s="41"/>
      <x:c r="G15" s="41" t="str">
        <x:v>B</x:v>
      </x:c>
      <x:c r="H15" s="41" t="str">
        <x:v>staff04@example.test</x:v>
      </x:c>
      <x:c r="I15" s="48" t="n">
        <x:v>45686.375</x:v>
      </x:c>
      <x:c r="J15" s="48" t="n">
        <x:v>45691.375</x:v>
      </x:c>
      <x:c r="K15" s="41" t="n">
        <x:v>0</x:v>
      </x:c>
      <x:c r="L15" s="48"/>
      <x:c r="M15" s="41" t="str">
        <x:v>通常データ</x:v>
      </x:c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41" t="str">
        <x:v>CUST-0015</x:v>
      </x:c>
      <x:c r="B16" s="41" t="str">
        <x:v>東都サービス株式会社15</x:v>
      </x:c>
      <x:c r="C16" s="41" t="str">
        <x:v>トウトサービスカブシキガイシャ15</x:v>
      </x:c>
      <x:c r="D16" s="41" t="str">
        <x:v>customer15@example.test</x:v>
      </x:c>
      <x:c r="E16" s="41"/>
      <x:c r="F16" s="41" t="str">
        <x:v>東京都架空区サンプル15丁目15番地</x:v>
      </x:c>
      <x:c r="G16" s="41" t="str">
        <x:v>C</x:v>
      </x:c>
      <x:c r="H16" s="41" t="str">
        <x:v>staff05@example.test</x:v>
      </x:c>
      <x:c r="I16" s="48" t="n">
        <x:v>45687.375</x:v>
      </x:c>
      <x:c r="J16" s="48" t="n">
        <x:v>45693.375</x:v>
      </x:c>
      <x:c r="K16" s="41" t="n">
        <x:v>0</x:v>
      </x:c>
      <x:c r="L16" s="48"/>
      <x:c r="M16" s="41" t="str">
        <x:v>通常データ</x:v>
      </x:c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41" t="str">
        <x:v>CUST-0016</x:v>
      </x:c>
      <x:c r="B17" s="41" t="str">
        <x:v>西山電機16</x:v>
      </x:c>
      <x:c r="C17" s="41" t="str">
        <x:v>ニシヤマデンキ16</x:v>
      </x:c>
      <x:c r="D17" s="41" t="str">
        <x:v>customer16@example.test</x:v>
      </x:c>
      <x:c r="E17" s="41" t="str">
        <x:v>03-5000-1016</x:v>
      </x:c>
      <x:c r="F17" s="41" t="str">
        <x:v>東京都架空区サンプル16丁目16番地</x:v>
      </x:c>
      <x:c r="G17" s="41" t="str">
        <x:v>D</x:v>
      </x:c>
      <x:c r="H17" s="41" t="str">
        <x:v>staff01@example.test</x:v>
      </x:c>
      <x:c r="I17" s="48" t="n">
        <x:v>45688.375</x:v>
      </x:c>
      <x:c r="J17" s="48" t="n">
        <x:v>45695.375</x:v>
      </x:c>
      <x:c r="K17" s="41" t="n">
        <x:v>0</x:v>
      </x:c>
      <x:c r="L17" s="48"/>
      <x:c r="M17" s="41" t="str">
        <x:v>通常データ</x:v>
      </x:c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41" t="str">
        <x:v>CUST-0017</x:v>
      </x:c>
      <x:c r="B18" s="41" t="str">
        <x:v>大空物流株式会社17</x:v>
      </x:c>
      <x:c r="C18" s="41" t="str">
        <x:v>オオゾラブツリュウカブシキガイシャ17</x:v>
      </x:c>
      <x:c r="D18" s="41" t="str">
        <x:v>customer17@example.test</x:v>
      </x:c>
      <x:c r="E18" s="41" t="str">
        <x:v>03-5000-1017</x:v>
      </x:c>
      <x:c r="F18" s="41" t="str">
        <x:v>東京都架空区サンプル17丁目17番地</x:v>
      </x:c>
      <x:c r="G18" s="41" t="str">
        <x:v>A</x:v>
      </x:c>
      <x:c r="H18" s="41" t="str">
        <x:v>staff02@example.test</x:v>
      </x:c>
      <x:c r="I18" s="48" t="n">
        <x:v>45689.375</x:v>
      </x:c>
      <x:c r="J18" s="48" t="n">
        <x:v>45697.375</x:v>
      </x:c>
      <x:c r="K18" s="41" t="n">
        <x:v>0</x:v>
      </x:c>
      <x:c r="L18" s="48"/>
      <x:c r="M18" s="41" t="str">
        <x:v>通常データ</x:v>
      </x:c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41" t="str">
        <x:v>CUST-0018</x:v>
      </x:c>
      <x:c r="B19" s="41" t="str">
        <x:v>中央デザイン18</x:v>
      </x:c>
      <x:c r="C19" s="41" t="str">
        <x:v>チュウオウデザイン18</x:v>
      </x:c>
      <x:c r="D19" s="41"/>
      <x:c r="E19" s="41" t="str">
        <x:v>03-5000-1018</x:v>
      </x:c>
      <x:c r="F19" s="41" t="str">
        <x:v>東京都架空区サンプル18丁目18番地</x:v>
      </x:c>
      <x:c r="G19" s="41" t="str">
        <x:v>B</x:v>
      </x:c>
      <x:c r="H19" s="41" t="str">
        <x:v>staff03@example.test</x:v>
      </x:c>
      <x:c r="I19" s="48" t="n">
        <x:v>45690.375</x:v>
      </x:c>
      <x:c r="J19" s="48" t="n">
        <x:v>45690.375</x:v>
      </x:c>
      <x:c r="K19" s="41" t="n">
        <x:v>1</x:v>
      </x:c>
      <x:c r="L19" s="48" t="n">
        <x:v>45695.375</x:v>
      </x:c>
      <x:c r="M19" s="41" t="str">
        <x:v>通常データ</x:v>
      </x:c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41" t="str">
        <x:v>CUST-0019</x:v>
      </x:c>
      <x:c r="B20" s="41" t="str">
        <x:v>若葉フーズ株式会社19</x:v>
      </x:c>
      <x:c r="C20" s="41" t="str">
        <x:v>ワカバフーズカブシキガイシャ19</x:v>
      </x:c>
      <x:c r="D20" s="41" t="str">
        <x:v>customer19@example.test</x:v>
      </x:c>
      <x:c r="E20" s="41" t="str">
        <x:v>03-5000-1019</x:v>
      </x:c>
      <x:c r="F20" s="41" t="str">
        <x:v>東京都架空区サンプル19丁目19番地</x:v>
      </x:c>
      <x:c r="G20" s="41" t="str">
        <x:v>C</x:v>
      </x:c>
      <x:c r="H20" s="41" t="str">
        <x:v>staff04@example.test</x:v>
      </x:c>
      <x:c r="I20" s="48" t="n">
        <x:v>45691.375</x:v>
      </x:c>
      <x:c r="J20" s="48" t="n">
        <x:v>45692.375</x:v>
      </x:c>
      <x:c r="K20" s="41" t="n">
        <x:v>0</x:v>
      </x:c>
      <x:c r="L20" s="48"/>
      <x:c r="M20" s="41" t="str">
        <x:v>通常データ</x:v>
      </x:c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41" t="str">
        <x:v>CUST-0020</x:v>
      </x:c>
      <x:c r="B21" s="41" t="str">
        <x:v>光洋テクノ20</x:v>
      </x:c>
      <x:c r="C21" s="41" t="str">
        <x:v>コウヨウテクノ20</x:v>
      </x:c>
      <x:c r="D21" s="41" t="str">
        <x:v>customer20@example.test</x:v>
      </x:c>
      <x:c r="E21" s="41"/>
      <x:c r="F21" s="41" t="str">
        <x:v>東京都架空区サンプル20丁目20番地</x:v>
      </x:c>
      <x:c r="G21" s="41" t="str">
        <x:v>D</x:v>
      </x:c>
      <x:c r="H21" s="41" t="str">
        <x:v>staff05@example.test</x:v>
      </x:c>
      <x:c r="I21" s="48" t="n">
        <x:v>45692.375</x:v>
      </x:c>
      <x:c r="J21" s="48" t="n">
        <x:v>45694.375</x:v>
      </x:c>
      <x:c r="K21" s="41" t="n">
        <x:v>0</x:v>
      </x:c>
      <x:c r="L21" s="48"/>
      <x:c r="M21" s="41" t="str">
        <x:v>通常データ</x:v>
      </x:c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41" t="str">
        <x:v>CUST-0021</x:v>
      </x:c>
      <x:c r="B22" s="41" t="str">
        <x:v>青葉商事株式会社21</x:v>
      </x:c>
      <x:c r="C22" s="41" t="str">
        <x:v>アオバショウジカブシキガイシャ21</x:v>
      </x:c>
      <x:c r="D22" s="41" t="str">
        <x:v>customer21@example.test</x:v>
      </x:c>
      <x:c r="E22" s="41" t="str">
        <x:v>03-5000-1021</x:v>
      </x:c>
      <x:c r="F22" s="41"/>
      <x:c r="G22" s="41" t="str">
        <x:v>A</x:v>
      </x:c>
      <x:c r="H22" s="41" t="str">
        <x:v>staff01@example.test</x:v>
      </x:c>
      <x:c r="I22" s="48" t="n">
        <x:v>45693.375</x:v>
      </x:c>
      <x:c r="J22" s="48" t="n">
        <x:v>45696.375</x:v>
      </x:c>
      <x:c r="K22" s="41" t="n">
        <x:v>0</x:v>
      </x:c>
      <x:c r="L22" s="48"/>
      <x:c r="M22" s="41" t="str">
        <x:v>通常データ</x:v>
      </x:c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41" t="str">
        <x:v>CUST-0022</x:v>
      </x:c>
      <x:c r="B23" s="41" t="str">
        <x:v>北斗システムズ株式会社22</x:v>
      </x:c>
      <x:c r="C23" s="41" t="str">
        <x:v>ホクトシステムズカブシキガイシャ22</x:v>
      </x:c>
      <x:c r="D23" s="41" t="str">
        <x:v>customer22@example.test</x:v>
      </x:c>
      <x:c r="E23" s="41" t="str">
        <x:v>03-5000-1022</x:v>
      </x:c>
      <x:c r="F23" s="41" t="str">
        <x:v>東京都架空区サンプル22丁目22番地</x:v>
      </x:c>
      <x:c r="G23" s="41" t="str">
        <x:v>B</x:v>
      </x:c>
      <x:c r="H23" s="41" t="str">
        <x:v>staff02@example.test</x:v>
      </x:c>
      <x:c r="I23" s="48" t="n">
        <x:v>45694.375</x:v>
      </x:c>
      <x:c r="J23" s="48" t="n">
        <x:v>45698.375</x:v>
      </x:c>
      <x:c r="K23" s="41" t="n">
        <x:v>0</x:v>
      </x:c>
      <x:c r="L23" s="48"/>
      <x:c r="M23" s="41" t="str">
        <x:v>通常データ</x:v>
      </x:c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41" t="str">
        <x:v>CUST-0023</x:v>
      </x:c>
      <x:c r="B24" s="41" t="str">
        <x:v>桜井企画23</x:v>
      </x:c>
      <x:c r="C24" s="41" t="str">
        <x:v>サクライキカク23</x:v>
      </x:c>
      <x:c r="D24" s="41" t="str">
        <x:v>customer23@example.test</x:v>
      </x:c>
      <x:c r="E24" s="41" t="str">
        <x:v>03-5000-1023</x:v>
      </x:c>
      <x:c r="F24" s="41" t="str">
        <x:v>東京都架空区サンプル23丁目23番地</x:v>
      </x:c>
      <x:c r="G24" s="41" t="str">
        <x:v>C</x:v>
      </x:c>
      <x:c r="H24" s="41" t="str">
        <x:v>staff03@example.test</x:v>
      </x:c>
      <x:c r="I24" s="48" t="n">
        <x:v>45695.375</x:v>
      </x:c>
      <x:c r="J24" s="48" t="n">
        <x:v>45700.375</x:v>
      </x:c>
      <x:c r="K24" s="41" t="n">
        <x:v>0</x:v>
      </x:c>
      <x:c r="L24" s="48"/>
      <x:c r="M24" s="41" t="str">
        <x:v>通常データ</x:v>
      </x:c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41" t="str">
        <x:v>CUST-0024</x:v>
      </x:c>
      <x:c r="B25" s="41" t="str">
        <x:v>みなと物産24</x:v>
      </x:c>
      <x:c r="C25" s="41" t="str">
        <x:v>ミナトブッサン24</x:v>
      </x:c>
      <x:c r="D25" s="41"/>
      <x:c r="E25" s="41" t="str">
        <x:v>03-5000-1024</x:v>
      </x:c>
      <x:c r="F25" s="41" t="str">
        <x:v>東京都架空区サンプル24丁目24番地</x:v>
      </x:c>
      <x:c r="G25" s="41" t="str">
        <x:v>D</x:v>
      </x:c>
      <x:c r="H25" s="41" t="str">
        <x:v>staff04@example.test</x:v>
      </x:c>
      <x:c r="I25" s="48" t="n">
        <x:v>45696.375</x:v>
      </x:c>
      <x:c r="J25" s="48" t="n">
        <x:v>45702.375</x:v>
      </x:c>
      <x:c r="K25" s="41" t="n">
        <x:v>0</x:v>
      </x:c>
      <x:c r="L25" s="48"/>
      <x:c r="M25" s="41" t="str">
        <x:v>通常データ</x:v>
      </x:c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41" t="str">
        <x:v>CUST-0025</x:v>
      </x:c>
      <x:c r="B26" s="41" t="str">
        <x:v>東都サービス株式会社25</x:v>
      </x:c>
      <x:c r="C26" s="41" t="str">
        <x:v>トウトサービスカブシキガイシャ25</x:v>
      </x:c>
      <x:c r="D26" s="41" t="str">
        <x:v>customer25@example.test</x:v>
      </x:c>
      <x:c r="E26" s="41"/>
      <x:c r="F26" s="41" t="str">
        <x:v>東京都架空区サンプル25丁目25番地</x:v>
      </x:c>
      <x:c r="G26" s="41" t="str">
        <x:v>A</x:v>
      </x:c>
      <x:c r="H26" s="41" t="str">
        <x:v>staff05@example.test</x:v>
      </x:c>
      <x:c r="I26" s="48" t="n">
        <x:v>45697.375</x:v>
      </x:c>
      <x:c r="J26" s="48" t="n">
        <x:v>45704.375</x:v>
      </x:c>
      <x:c r="K26" s="41" t="n">
        <x:v>0</x:v>
      </x:c>
      <x:c r="L26" s="48"/>
      <x:c r="M26" s="41" t="str">
        <x:v>通常データ</x:v>
      </x:c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41" t="str">
        <x:v>CUST-0026</x:v>
      </x:c>
      <x:c r="B27" s="41" t="str">
        <x:v>西山電機26</x:v>
      </x:c>
      <x:c r="C27" s="41" t="str">
        <x:v>ニシヤマデンキ26</x:v>
      </x:c>
      <x:c r="D27" s="41" t="str">
        <x:v>customer26@example.test</x:v>
      </x:c>
      <x:c r="E27" s="41" t="str">
        <x:v>03-5000-1026</x:v>
      </x:c>
      <x:c r="F27" s="41" t="str">
        <x:v>東京都架空区サンプル26丁目26番地</x:v>
      </x:c>
      <x:c r="G27" s="41" t="str">
        <x:v>B</x:v>
      </x:c>
      <x:c r="H27" s="41" t="str">
        <x:v>staff01@example.test</x:v>
      </x:c>
      <x:c r="I27" s="48" t="n">
        <x:v>45698.375</x:v>
      </x:c>
      <x:c r="J27" s="48" t="n">
        <x:v>45706.375</x:v>
      </x:c>
      <x:c r="K27" s="41" t="n">
        <x:v>0</x:v>
      </x:c>
      <x:c r="L27" s="48"/>
      <x:c r="M27" s="41" t="str">
        <x:v>通常データ</x:v>
      </x:c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41" t="str">
        <x:v>CUST-0027</x:v>
      </x:c>
      <x:c r="B28" s="41" t="str">
        <x:v>大空物流株式会社27</x:v>
      </x:c>
      <x:c r="C28" s="41" t="str">
        <x:v>オオゾラブツリュウカブシキガイシャ27</x:v>
      </x:c>
      <x:c r="D28" s="41" t="str">
        <x:v>customer27@example.test</x:v>
      </x:c>
      <x:c r="E28" s="41" t="str">
        <x:v>03-5000-1027</x:v>
      </x:c>
      <x:c r="F28" s="41" t="str">
        <x:v>東京都架空区サンプル27丁目27番地</x:v>
      </x:c>
      <x:c r="G28" s="41" t="str">
        <x:v>C</x:v>
      </x:c>
      <x:c r="H28" s="41" t="str">
        <x:v>staff02@example.test</x:v>
      </x:c>
      <x:c r="I28" s="48" t="n">
        <x:v>45699.375</x:v>
      </x:c>
      <x:c r="J28" s="48" t="n">
        <x:v>45699.375</x:v>
      </x:c>
      <x:c r="K28" s="41" t="n">
        <x:v>1</x:v>
      </x:c>
      <x:c r="L28" s="48" t="n">
        <x:v>45704.375</x:v>
      </x:c>
      <x:c r="M28" s="41" t="str">
        <x:v>通常データ</x:v>
      </x:c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41" t="str">
        <x:v>CUST-0028</x:v>
      </x:c>
      <x:c r="B29" s="41" t="str">
        <x:v>中央デザイン28</x:v>
      </x:c>
      <x:c r="C29" s="41" t="str">
        <x:v>チュウオウデザイン28</x:v>
      </x:c>
      <x:c r="D29" s="41" t="str">
        <x:v>customer28@example.test</x:v>
      </x:c>
      <x:c r="E29" s="41" t="str">
        <x:v>03-5000-1028</x:v>
      </x:c>
      <x:c r="F29" s="41"/>
      <x:c r="G29" s="41" t="str">
        <x:v>D</x:v>
      </x:c>
      <x:c r="H29" s="41" t="str">
        <x:v>staff03@example.test</x:v>
      </x:c>
      <x:c r="I29" s="48" t="n">
        <x:v>45700.375</x:v>
      </x:c>
      <x:c r="J29" s="48" t="n">
        <x:v>45701.375</x:v>
      </x:c>
      <x:c r="K29" s="41" t="n">
        <x:v>0</x:v>
      </x:c>
      <x:c r="L29" s="48"/>
      <x:c r="M29" s="41" t="str">
        <x:v>通常データ</x:v>
      </x:c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41" t="str">
        <x:v>CUST-0029</x:v>
      </x:c>
      <x:c r="B30" s="41" t="str">
        <x:v>若葉フーズ株式会社29</x:v>
      </x:c>
      <x:c r="C30" s="41" t="str">
        <x:v>ワカバフーズカブシキガイシャ29</x:v>
      </x:c>
      <x:c r="D30" s="41" t="str">
        <x:v>customer29@example.test</x:v>
      </x:c>
      <x:c r="E30" s="41" t="str">
        <x:v>03-5000-1029</x:v>
      </x:c>
      <x:c r="F30" s="41" t="str">
        <x:v>東京都架空区サンプル29丁目29番地</x:v>
      </x:c>
      <x:c r="G30" s="41" t="str">
        <x:v>A</x:v>
      </x:c>
      <x:c r="H30" s="41" t="str">
        <x:v>staff04@example.test</x:v>
      </x:c>
      <x:c r="I30" s="48" t="n">
        <x:v>45701.375</x:v>
      </x:c>
      <x:c r="J30" s="48" t="n">
        <x:v>45703.375</x:v>
      </x:c>
      <x:c r="K30" s="41" t="n">
        <x:v>0</x:v>
      </x:c>
      <x:c r="L30" s="48"/>
      <x:c r="M30" s="41" t="str">
        <x:v>通常データ</x:v>
      </x:c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41" t="str">
        <x:v>CUST-0030</x:v>
      </x:c>
      <x:c r="B31" s="41" t="str">
        <x:v>光洋テクノ30</x:v>
      </x:c>
      <x:c r="C31" s="41" t="str">
        <x:v>コウヨウテクノ30</x:v>
      </x:c>
      <x:c r="D31" s="41"/>
      <x:c r="E31" s="41"/>
      <x:c r="F31" s="41" t="str">
        <x:v>東京都架空区サンプル30丁目30番地</x:v>
      </x:c>
      <x:c r="G31" s="41" t="str">
        <x:v>B</x:v>
      </x:c>
      <x:c r="H31" s="41" t="str">
        <x:v>staff05@example.test</x:v>
      </x:c>
      <x:c r="I31" s="48" t="n">
        <x:v>45702.375</x:v>
      </x:c>
      <x:c r="J31" s="48" t="n">
        <x:v>45705.375</x:v>
      </x:c>
      <x:c r="K31" s="41" t="n">
        <x:v>0</x:v>
      </x:c>
      <x:c r="L31" s="48"/>
      <x:c r="M31" s="41" t="str">
        <x:v>通常データ</x:v>
      </x:c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41" t="str">
        <x:v>CUST-0031</x:v>
      </x:c>
      <x:c r="B32" s="41" t="str">
        <x:v>青葉商事株式会社31</x:v>
      </x:c>
      <x:c r="C32" s="41" t="str">
        <x:v>アオバショウジカブシキガイシャ31</x:v>
      </x:c>
      <x:c r="D32" s="41" t="str">
        <x:v>customer31@example.test</x:v>
      </x:c>
      <x:c r="E32" s="41" t="str">
        <x:v>03-5000-1031</x:v>
      </x:c>
      <x:c r="F32" s="41" t="str">
        <x:v>東京都架空区サンプル31丁目31番地</x:v>
      </x:c>
      <x:c r="G32" s="41" t="str">
        <x:v>C</x:v>
      </x:c>
      <x:c r="H32" s="41" t="str">
        <x:v>staff01@example.test</x:v>
      </x:c>
      <x:c r="I32" s="48" t="n">
        <x:v>45703.375</x:v>
      </x:c>
      <x:c r="J32" s="48" t="n">
        <x:v>45707.375</x:v>
      </x:c>
      <x:c r="K32" s="41" t="n">
        <x:v>0</x:v>
      </x:c>
      <x:c r="L32" s="48"/>
      <x:c r="M32" s="41" t="str">
        <x:v>通常データ</x:v>
      </x:c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41" t="str">
        <x:v>CUST-0032</x:v>
      </x:c>
      <x:c r="B33" s="41" t="str">
        <x:v>北斗システムズ株式会社32</x:v>
      </x:c>
      <x:c r="C33" s="41" t="str">
        <x:v>ホクトシステムズカブシキガイシャ32</x:v>
      </x:c>
      <x:c r="D33" s="41" t="str">
        <x:v>customer32@example.test</x:v>
      </x:c>
      <x:c r="E33" s="41" t="str">
        <x:v>03-5000-1032</x:v>
      </x:c>
      <x:c r="F33" s="41" t="str">
        <x:v>東京都架空区サンプル32丁目32番地</x:v>
      </x:c>
      <x:c r="G33" s="41" t="str">
        <x:v>D</x:v>
      </x:c>
      <x:c r="H33" s="41" t="str">
        <x:v>staff02@example.test</x:v>
      </x:c>
      <x:c r="I33" s="48" t="n">
        <x:v>45704.375</x:v>
      </x:c>
      <x:c r="J33" s="48" t="n">
        <x:v>45709.375</x:v>
      </x:c>
      <x:c r="K33" s="41" t="n">
        <x:v>0</x:v>
      </x:c>
      <x:c r="L33" s="48"/>
      <x:c r="M33" s="41" t="str">
        <x:v>通常データ</x:v>
      </x:c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41" t="str">
        <x:v>CUST-0033</x:v>
      </x:c>
      <x:c r="B34" s="41"/>
      <x:c r="C34" s="41" t="str">
        <x:v>ムメイコキャク</x:v>
      </x:c>
      <x:c r="D34" s="41" t="str">
        <x:v>noname@example.test</x:v>
      </x:c>
      <x:c r="E34" s="41" t="str">
        <x:v>03-5000-2033</x:v>
      </x:c>
      <x:c r="F34" s="41" t="str">
        <x:v>東京都架空区33</x:v>
      </x:c>
      <x:c r="G34" s="41" t="str">
        <x:v>A</x:v>
      </x:c>
      <x:c r="H34" s="41" t="str">
        <x:v>staff01@example.test</x:v>
      </x:c>
      <x:c r="I34" s="48" t="n">
        <x:v>45717.375</x:v>
      </x:c>
      <x:c r="J34" s="48" t="n">
        <x:v>45718.375</x:v>
      </x:c>
      <x:c r="K34" s="41" t="n">
        <x:v>0</x:v>
      </x:c>
      <x:c r="L34" s="48"/>
      <x:c r="M34" s="41" t="str">
        <x:v>顧客名欠落（必須項目エラー想定）</x:v>
      </x:c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41" t="str">
        <x:v>CUST-0034</x:v>
      </x:c>
      <x:c r="B35" s="41" t="str">
        <x:v>メール形式不正顧客</x:v>
      </x:c>
      <x:c r="C35" s="41" t="str">
        <x:v>メールケイシキフセイコキャク</x:v>
      </x:c>
      <x:c r="D35" s="41" t="str">
        <x:v>invalid-email</x:v>
      </x:c>
      <x:c r="E35" s="41" t="str">
        <x:v>03-5000-2034</x:v>
      </x:c>
      <x:c r="F35" s="41" t="str">
        <x:v>東京都架空区34</x:v>
      </x:c>
      <x:c r="G35" s="41" t="str">
        <x:v>B</x:v>
      </x:c>
      <x:c r="H35" s="41" t="str">
        <x:v>staff02@example.test</x:v>
      </x:c>
      <x:c r="I35" s="48" t="n">
        <x:v>45719.375</x:v>
      </x:c>
      <x:c r="J35" s="48" t="n">
        <x:v>45720.375</x:v>
      </x:c>
      <x:c r="K35" s="41" t="n">
        <x:v>0</x:v>
      </x:c>
      <x:c r="L35" s="48"/>
      <x:c r="M35" s="41" t="str">
        <x:v>メール形式不正</x:v>
      </x:c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41" t="str">
        <x:v>CUST-0035</x:v>
      </x:c>
      <x:c r="B36" s="41" t="str">
        <x:v>担当者不明顧客</x:v>
      </x:c>
      <x:c r="C36" s="41" t="str">
        <x:v>タントウシャフメイコキャク</x:v>
      </x:c>
      <x:c r="D36" s="41" t="str">
        <x:v>owner-missing@example.test</x:v>
      </x:c>
      <x:c r="E36" s="41" t="str">
        <x:v>03-5000-2035</x:v>
      </x:c>
      <x:c r="F36" s="41" t="str">
        <x:v>東京都架空区35</x:v>
      </x:c>
      <x:c r="G36" s="41" t="str">
        <x:v>C</x:v>
      </x:c>
      <x:c r="H36" s="41" t="str">
        <x:v>unknown-owner@example.test</x:v>
      </x:c>
      <x:c r="I36" s="48" t="n">
        <x:v>45721.375</x:v>
      </x:c>
      <x:c r="J36" s="48" t="n">
        <x:v>45722.375</x:v>
      </x:c>
      <x:c r="K36" s="41" t="n">
        <x:v>0</x:v>
      </x:c>
      <x:c r="L36" s="48"/>
      <x:c r="M36" s="41" t="str">
        <x:v>担当者メールが担当者マスタに存在しない</x:v>
      </x:c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41" t="str">
        <x:v>CUST-0036</x:v>
      </x:c>
      <x:c r="B37" s="41" t="str">
        <x:v>区分不明顧客</x:v>
      </x:c>
      <x:c r="C37" s="41" t="str">
        <x:v>クブンフメイコキャク</x:v>
      </x:c>
      <x:c r="D37" s="41" t="str">
        <x:v>unknown-category@example.test</x:v>
      </x:c>
      <x:c r="E37" s="41" t="str">
        <x:v>03-5000-2036</x:v>
      </x:c>
      <x:c r="F37" s="41" t="str">
        <x:v>東京都架空区36</x:v>
      </x:c>
      <x:c r="G37" s="41" t="str">
        <x:v>Z</x:v>
      </x:c>
      <x:c r="H37" s="41" t="str">
        <x:v>staff03@example.test</x:v>
      </x:c>
      <x:c r="I37" s="48" t="n">
        <x:v>45723.375</x:v>
      </x:c>
      <x:c r="J37" s="48" t="n">
        <x:v>45724.375</x:v>
      </x:c>
      <x:c r="K37" s="41" t="n">
        <x:v>0</x:v>
      </x:c>
      <x:c r="L37" s="48"/>
      <x:c r="M37" s="41" t="str">
        <x:v>未知の顧客区分コード</x:v>
      </x:c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41" t="str">
        <x:v>CUST-0008</x:v>
      </x:c>
      <x:c r="B38" s="41" t="str">
        <x:v>重複番号顧客</x:v>
      </x:c>
      <x:c r="C38" s="41" t="str">
        <x:v>チョウフクバンゴウコキャク</x:v>
      </x:c>
      <x:c r="D38" s="41" t="str">
        <x:v>duplicate@example.test</x:v>
      </x:c>
      <x:c r="E38" s="41" t="str">
        <x:v>03-5000-2037</x:v>
      </x:c>
      <x:c r="F38" s="41" t="str">
        <x:v>東京都架空区37</x:v>
      </x:c>
      <x:c r="G38" s="41" t="str">
        <x:v>A</x:v>
      </x:c>
      <x:c r="H38" s="41" t="str">
        <x:v>staff04@example.test</x:v>
      </x:c>
      <x:c r="I38" s="48" t="n">
        <x:v>45725.375</x:v>
      </x:c>
      <x:c r="J38" s="48" t="n">
        <x:v>45726.375</x:v>
      </x:c>
      <x:c r="K38" s="41" t="n">
        <x:v>0</x:v>
      </x:c>
      <x:c r="L38" s="48"/>
      <x:c r="M38" s="41" t="str">
        <x:v>Source顧客番号が既存rowと重複</x:v>
      </x:c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41" t="str">
        <x:v>CUST-0038</x:v>
      </x:c>
      <x:c r="B39" s="41" t="str">
        <x:v>削除日欠落顧客</x:v>
      </x:c>
      <x:c r="C39" s="41" t="str">
        <x:v>サクジョビケツラクコキャク</x:v>
      </x:c>
      <x:c r="D39" s="41" t="str">
        <x:v>deleted-missing-date@example.test</x:v>
      </x:c>
      <x:c r="E39" s="41" t="str">
        <x:v>03-5000-2038</x:v>
      </x:c>
      <x:c r="F39" s="41" t="str">
        <x:v>東京都架空区38</x:v>
      </x:c>
      <x:c r="G39" s="41" t="str">
        <x:v>D</x:v>
      </x:c>
      <x:c r="H39" s="41" t="str">
        <x:v>staff05@example.test</x:v>
      </x:c>
      <x:c r="I39" s="48" t="n">
        <x:v>45727.375</x:v>
      </x:c>
      <x:c r="J39" s="48" t="n">
        <x:v>45728.375</x:v>
      </x:c>
      <x:c r="K39" s="41" t="n">
        <x:v>1</x:v>
      </x:c>
      <x:c r="L39" s="48"/>
      <x:c r="M39" s="41" t="str">
        <x:v>削除フラグ=1だが削除日時が空欄</x:v>
      </x:c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41" t="str">
        <x:v>CUST-0039</x:v>
      </x:c>
      <x:c r="B40" s="41" t="str">
        <x:v>削除日矛盾顧客</x:v>
      </x:c>
      <x:c r="C40" s="41" t="str">
        <x:v>サクジョビムジュンコキャク</x:v>
      </x:c>
      <x:c r="D40" s="41" t="str">
        <x:v>active-with-date@example.test</x:v>
      </x:c>
      <x:c r="E40" s="41" t="str">
        <x:v>03-5000-2039</x:v>
      </x:c>
      <x:c r="F40" s="41" t="str">
        <x:v>東京都架空区39</x:v>
      </x:c>
      <x:c r="G40" s="41" t="str">
        <x:v>A</x:v>
      </x:c>
      <x:c r="H40" s="41" t="str">
        <x:v>staff01@example.test</x:v>
      </x:c>
      <x:c r="I40" s="48" t="n">
        <x:v>45729.375</x:v>
      </x:c>
      <x:c r="J40" s="48" t="n">
        <x:v>45730.375</x:v>
      </x:c>
      <x:c r="K40" s="41" t="n">
        <x:v>0</x:v>
      </x:c>
      <x:c r="L40" s="48" t="n">
        <x:v>45731.375</x:v>
      </x:c>
      <x:c r="M40" s="41" t="str">
        <x:v>削除フラグ=0だが削除日時あり</x:v>
      </x:c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41" t="str">
        <x:v>CUST-0040</x:v>
      </x:c>
      <x:c r="B41" s="41" t="str">
        <x:v>担当者空欄顧客</x:v>
      </x:c>
      <x:c r="C41" s="41" t="str">
        <x:v>タントウシャクウランコキャク</x:v>
      </x:c>
      <x:c r="D41" s="41" t="str">
        <x:v>no-owner@example.test</x:v>
      </x:c>
      <x:c r="E41" s="41" t="str">
        <x:v>03-5000-2040</x:v>
      </x:c>
      <x:c r="F41" s="41" t="str">
        <x:v>東京都架空区40</x:v>
      </x:c>
      <x:c r="G41" s="41" t="str">
        <x:v>B</x:v>
      </x:c>
      <x:c r="H41" s="41"/>
      <x:c r="I41" s="48" t="n">
        <x:v>45732.375</x:v>
      </x:c>
      <x:c r="J41" s="48" t="n">
        <x:v>45733.375</x:v>
      </x:c>
      <x:c r="K41" s="41" t="n">
        <x:v>0</x:v>
      </x:c>
      <x:c r="L41" s="48"/>
      <x:c r="M41" s="41" t="str">
        <x:v>担当者メール欠落</x:v>
      </x:c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</x:sheetData>
  <x:mergeCells>
    <x:mergeCell ref="O1:Q1"/>
  </x:mergeCells>
  <x:pageMargins left="0.7" right="0.7" top="0.75" bottom="0.75" header="0.3" footer="0.3"/>
  <x:tableParts count="1">
    <x:tablePart xmlns:r="http://schemas.openxmlformats.org/officeDocument/2006/relationships" r:id="R1712ec03952d402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2" hidden="0" customWidth="1"/>
    <x:col min="4" max="4" width="10" hidden="0" customWidth="1"/>
    <x:col min="5" max="5" width="36" hidden="0" customWidth="1"/>
  </x:cols>
  <x:sheetData>
    <x:row r="1">
      <x:c r="A1" s="40" t="str">
        <x:v>担当者メール</x:v>
      </x:c>
      <x:c r="B1" s="40" t="str">
        <x:v>表示名</x:v>
      </x:c>
      <x:c r="C1" s="40" t="str">
        <x:v>role</x:v>
      </x:c>
      <x:c r="D1" s="40" t="str">
        <x:v>active</x:v>
      </x:c>
      <x:c r="E1" s="40" t="str">
        <x:v>備考</x:v>
      </x:c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39" t="str">
        <x:v>staff01@example.test</x:v>
      </x:c>
      <x:c r="B2" s="39" t="str">
        <x:v>営業担当01</x:v>
      </x:c>
      <x:c r="C2" s="39" t="str">
        <x:v>staff</x:v>
      </x:c>
      <x:c r="D2" s="50" t="b">
        <x:v>1</x:v>
      </x:c>
      <x:c r="E2" s="39" t="str">
        <x:v>通常担当者</x:v>
      </x:c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39" t="str">
        <x:v>staff02@example.test</x:v>
      </x:c>
      <x:c r="B3" s="39" t="str">
        <x:v>営業担当02</x:v>
      </x:c>
      <x:c r="C3" s="39" t="str">
        <x:v>staff</x:v>
      </x:c>
      <x:c r="D3" s="50" t="b">
        <x:v>1</x:v>
      </x:c>
      <x:c r="E3" s="39" t="str">
        <x:v>通常担当者</x:v>
      </x:c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39" t="str">
        <x:v>staff03@example.test</x:v>
      </x:c>
      <x:c r="B4" s="39" t="str">
        <x:v>営業担当03</x:v>
      </x:c>
      <x:c r="C4" s="39" t="str">
        <x:v>staff</x:v>
      </x:c>
      <x:c r="D4" s="50" t="b">
        <x:v>1</x:v>
      </x:c>
      <x:c r="E4" s="39" t="str">
        <x:v>通常担当者</x:v>
      </x:c>
      <x:c r="F4" s="39"/>
      <x:c r="G4" s="39"/>
      <x:c r="H4" s="39"/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39" t="str">
        <x:v>staff04@example.test</x:v>
      </x:c>
      <x:c r="B5" s="39" t="str">
        <x:v>営業担当04</x:v>
      </x:c>
      <x:c r="C5" s="39" t="str">
        <x:v>staff</x:v>
      </x:c>
      <x:c r="D5" s="50" t="b">
        <x:v>1</x:v>
      </x:c>
      <x:c r="E5" s="39" t="str">
        <x:v>通常担当者</x:v>
      </x:c>
      <x:c r="F5" s="39"/>
      <x:c r="G5" s="39"/>
      <x:c r="H5" s="39"/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39" t="str">
        <x:v>staff05@example.test</x:v>
      </x:c>
      <x:c r="B6" s="39" t="str">
        <x:v>営業担当05</x:v>
      </x:c>
      <x:c r="C6" s="39" t="str">
        <x:v>staff</x:v>
      </x:c>
      <x:c r="D6" s="50" t="b">
        <x:v>1</x:v>
      </x:c>
      <x:c r="E6" s="39" t="str">
        <x:v>通常担当者</x:v>
      </x:c>
      <x:c r="F6" s="39"/>
      <x:c r="G6" s="39"/>
      <x:c r="H6" s="39"/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39" t="str">
        <x:v>e2e-manager@example.test</x:v>
      </x:c>
      <x:c r="B7" s="39" t="str">
        <x:v>営業マネージャ</x:v>
      </x:c>
      <x:c r="C7" s="39" t="str">
        <x:v>manager</x:v>
      </x:c>
      <x:c r="D7" s="50" t="b">
        <x:v>1</x:v>
      </x:c>
      <x:c r="E7" s="39" t="str">
        <x:v>managerはCustomer ownerとしては原則使用しない</x:v>
      </x:c>
      <x:c r="F7" s="39"/>
      <x:c r="G7" s="39"/>
      <x:c r="H7" s="39"/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39" t="str">
        <x:v>admin01@example.test</x:v>
      </x:c>
      <x:c r="B8" s="39" t="str">
        <x:v>管理者01</x:v>
      </x:c>
      <x:c r="C8" s="39" t="str">
        <x:v>admin</x:v>
      </x:c>
      <x:c r="D8" s="50" t="b">
        <x:v>1</x:v>
      </x:c>
      <x:c r="E8" s="39" t="str">
        <x:v>管理用</x:v>
      </x:c>
      <x:c r="F8" s="39"/>
      <x:c r="G8" s="39"/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39" t="str">
        <x:v>inactive01@example.test</x:v>
      </x:c>
      <x:c r="B9" s="39" t="str">
        <x:v>旧担当者01</x:v>
      </x:c>
      <x:c r="C9" s="39" t="str">
        <x:v>staff</x:v>
      </x:c>
      <x:c r="D9" s="50" t="b">
        <x:v>0</x:v>
      </x:c>
      <x:c r="E9" s="39" t="str">
        <x:v>inactive user</x:v>
      </x:c>
      <x:c r="F9" s="39"/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39"/>
      <x:c r="B10" s="39"/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</x:sheetData>
  <x:pageMargins left="0.7" right="0.7" top="0.75" bottom="0.75" header="0.3" footer="0.3"/>
  <x:tableParts count="1">
    <x:tablePart xmlns:r="http://schemas.openxmlformats.org/officeDocument/2006/relationships" r:id="Rd1b7c33d9339410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4" hidden="0" customWidth="1"/>
  </x:cols>
  <x:sheetData>
    <x:row r="1">
      <x:c r="A1" s="40" t="str">
        <x:v>顧客区分コード</x:v>
      </x:c>
      <x:c r="B1" s="40" t="str">
        <x:v>Target category</x:v>
      </x:c>
      <x:c r="C1" s="40" t="str">
        <x:v>備考</x:v>
      </x:c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39" t="str">
        <x:v>A</x:v>
      </x:c>
      <x:c r="B2" s="39" t="str">
        <x:v>法人</x:v>
      </x:c>
      <x:c r="C2" s="39" t="str">
        <x:v>有効</x:v>
      </x:c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39" t="str">
        <x:v>B</x:v>
      </x:c>
      <x:c r="B3" s="39" t="str">
        <x:v>個人</x:v>
      </x:c>
      <x:c r="C3" s="39" t="str">
        <x:v>有効</x:v>
      </x:c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39" t="str">
        <x:v>C</x:v>
      </x:c>
      <x:c r="B4" s="39" t="str">
        <x:v>重点</x:v>
      </x:c>
      <x:c r="C4" s="39" t="str">
        <x:v>有効</x:v>
      </x:c>
      <x:c r="D4" s="39"/>
      <x:c r="E4" s="39"/>
      <x:c r="F4" s="39"/>
      <x:c r="G4" s="39"/>
      <x:c r="H4" s="39"/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39" t="str">
        <x:v>D</x:v>
      </x:c>
      <x:c r="B5" s="39" t="str">
        <x:v>休眠</x:v>
      </x:c>
      <x:c r="C5" s="39" t="str">
        <x:v>有効</x:v>
      </x:c>
      <x:c r="D5" s="39"/>
      <x:c r="E5" s="39"/>
      <x:c r="F5" s="39"/>
      <x:c r="G5" s="39"/>
      <x:c r="H5" s="39"/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39"/>
      <x:c r="B6" s="39"/>
      <x:c r="C6" s="39"/>
      <x:c r="D6" s="39"/>
      <x:c r="E6" s="39"/>
      <x:c r="F6" s="39"/>
      <x:c r="G6" s="39"/>
      <x:c r="H6" s="39"/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39"/>
      <x:c r="B7" s="39"/>
      <x:c r="C7" s="39"/>
      <x:c r="D7" s="39"/>
      <x:c r="E7" s="39"/>
      <x:c r="F7" s="39"/>
      <x:c r="G7" s="39"/>
      <x:c r="H7" s="39"/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39"/>
      <x:c r="B8" s="39"/>
      <x:c r="C8" s="39"/>
      <x:c r="D8" s="39"/>
      <x:c r="E8" s="39"/>
      <x:c r="F8" s="39"/>
      <x:c r="G8" s="39"/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39"/>
      <x:c r="B9" s="39"/>
      <x:c r="C9" s="39"/>
      <x:c r="D9" s="39"/>
      <x:c r="E9" s="39"/>
      <x:c r="F9" s="39"/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39"/>
      <x:c r="B10" s="39"/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</x:sheetData>
  <x:pageMargins left="0.7" right="0.7" top="0.75" bottom="0.75" header="0.3" footer="0.3"/>
  <x:tableParts count="1">
    <x:tablePart xmlns:r="http://schemas.openxmlformats.org/officeDocument/2006/relationships" r:id="Rc172394f1c2e41e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2" hidden="0" customWidth="1"/>
    <x:col min="4" max="4" width="12" hidden="0" customWidth="1"/>
    <x:col min="5" max="5" width="26" hidden="0" customWidth="1"/>
    <x:col min="6" max="6" width="18" hidden="0" customWidth="1"/>
    <x:col min="7" max="7" width="32" hidden="0" customWidth="1"/>
    <x:col min="8" max="8" width="28" hidden="0" customWidth="1"/>
    <x:col min="9" max="9" width="18" hidden="0" customWidth="1"/>
    <x:col min="10" max="10" width="34" hidden="0" customWidth="1"/>
  </x:cols>
  <x:sheetData>
    <x:row r="1">
      <x:c r="A1" s="40" t="str">
        <x:v>Source列</x:v>
      </x:c>
      <x:c r="B1" s="40" t="str">
        <x:v>意味</x:v>
      </x:c>
      <x:c r="C1" s="40" t="str">
        <x:v>想定型</x:v>
      </x:c>
      <x:c r="D1" s="40" t="str">
        <x:v>必須/任意</x:v>
      </x:c>
      <x:c r="E1" s="40" t="str">
        <x:v>例</x:v>
      </x:c>
      <x:c r="F1" s="40" t="str">
        <x:v>Target</x:v>
      </x:c>
      <x:c r="G1" s="40" t="str">
        <x:v>変換方針</x:v>
      </x:c>
      <x:c r="H1" s="40" t="str">
        <x:v>検証</x:v>
      </x:c>
      <x:c r="I1" s="40" t="str">
        <x:v>暗号化</x:v>
      </x:c>
      <x:c r="J1" s="40" t="str">
        <x:v>備考</x:v>
      </x:c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41" t="str">
        <x:v>顧客番号</x:v>
      </x:c>
      <x:c r="B2" s="41" t="str">
        <x:v>旧システム上の顧客識別子</x:v>
      </x:c>
      <x:c r="C2" s="41" t="str">
        <x:v>文字列</x:v>
      </x:c>
      <x:c r="D2" s="41" t="str">
        <x:v>必須</x:v>
      </x:c>
      <x:c r="E2" s="41" t="str">
        <x:v>CUST-0001</x:v>
      </x:c>
      <x:c r="F2" s="41" t="str">
        <x:v>移行照合キーのみ</x:v>
      </x:c>
      <x:c r="G2" s="41" t="str">
        <x:v>Target idは新UUID採番</x:v>
      </x:c>
      <x:c r="H2" s="41" t="str">
        <x:v>Source内で一意であることを確認</x:v>
      </x:c>
      <x:c r="I2" s="41" t="str">
        <x:v>なし</x:v>
      </x:c>
      <x:c r="J2" s="41" t="str">
        <x:v>Target Customer列には保持しない</x:v>
      </x:c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41" t="str">
        <x:v>顧客名</x:v>
      </x:c>
      <x:c r="B3" s="41" t="str">
        <x:v>顧客の表示名</x:v>
      </x:c>
      <x:c r="C3" s="41" t="str">
        <x:v>文字列</x:v>
      </x:c>
      <x:c r="D3" s="41" t="str">
        <x:v>必須</x:v>
      </x:c>
      <x:c r="E3" s="41" t="str">
        <x:v>青葉商事株式会社01</x:v>
      </x:c>
      <x:c r="F3" s="41" t="str">
        <x:v>name</x:v>
      </x:c>
      <x:c r="G3" s="41" t="str">
        <x:v>trim後そのまま</x:v>
      </x:c>
      <x:c r="H3" s="41" t="str">
        <x:v>空欄不可</x:v>
      </x:c>
      <x:c r="I3" s="41" t="str">
        <x:v>なし</x:v>
      </x:c>
      <x:c r="J3" s="41" t="str">
        <x:v>検索・sort対象のため平文</x:v>
      </x:c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1" t="str">
        <x:v>顧客名カナ</x:v>
      </x:c>
      <x:c r="B4" s="41" t="str">
        <x:v>顧客名のカナ</x:v>
      </x:c>
      <x:c r="C4" s="41" t="str">
        <x:v>文字列</x:v>
      </x:c>
      <x:c r="D4" s="41" t="str">
        <x:v>任意</x:v>
      </x:c>
      <x:c r="E4" s="41" t="str">
        <x:v>アオバショウジ...</x:v>
      </x:c>
      <x:c r="F4" s="41" t="str">
        <x:v>name_kana</x:v>
      </x:c>
      <x:c r="G4" s="41" t="str">
        <x:v>空欄はNULL</x:v>
      </x:c>
      <x:c r="H4" s="41" t="str">
        <x:v>既存Customer validationに従う</x:v>
      </x:c>
      <x:c r="I4" s="41" t="str">
        <x:v>AES-256-GCM</x:v>
      </x:c>
      <x:c r="J4" s="41" t="str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1" t="str">
        <x:v>メールアドレス</x:v>
      </x:c>
      <x:c r="B5" s="41" t="str">
        <x:v>顧客メール</x:v>
      </x:c>
      <x:c r="C5" s="41" t="str">
        <x:v>文字列</x:v>
      </x:c>
      <x:c r="D5" s="41" t="str">
        <x:v>任意</x:v>
      </x:c>
      <x:c r="E5" s="41" t="str">
        <x:v>customer01@example.test</x:v>
      </x:c>
      <x:c r="F5" s="41" t="str">
        <x:v>email</x:v>
      </x:c>
      <x:c r="G5" s="41" t="str">
        <x:v>空欄はNULL</x:v>
      </x:c>
      <x:c r="H5" s="41" t="str">
        <x:v>形式検証</x:v>
      </x:c>
      <x:c r="I5" s="41" t="str">
        <x:v>AES-256-GCM</x:v>
      </x:c>
      <x:c r="J5" s="41" t="str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1" t="str">
        <x:v>電話番号</x:v>
      </x:c>
      <x:c r="B6" s="41" t="str">
        <x:v>顧客電話番号</x:v>
      </x:c>
      <x:c r="C6" s="41" t="str">
        <x:v>文字列</x:v>
      </x:c>
      <x:c r="D6" s="41" t="str">
        <x:v>任意</x:v>
      </x:c>
      <x:c r="E6" s="41" t="str">
        <x:v>03-5000-1001</x:v>
      </x:c>
      <x:c r="F6" s="41" t="str">
        <x:v>phone</x:v>
      </x:c>
      <x:c r="G6" s="41" t="str">
        <x:v>空欄はNULL</x:v>
      </x:c>
      <x:c r="H6" s="41" t="str">
        <x:v>既存Customer validationに従う</x:v>
      </x:c>
      <x:c r="I6" s="41" t="str">
        <x:v>AES-256-GCM</x:v>
      </x:c>
      <x:c r="J6" s="41" t="str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1" t="str">
        <x:v>住所</x:v>
      </x:c>
      <x:c r="B7" s="41" t="str">
        <x:v>顧客住所</x:v>
      </x:c>
      <x:c r="C7" s="41" t="str">
        <x:v>文字列</x:v>
      </x:c>
      <x:c r="D7" s="41" t="str">
        <x:v>任意</x:v>
      </x:c>
      <x:c r="E7" s="41" t="str">
        <x:v>東京都架空区...</x:v>
      </x:c>
      <x:c r="F7" s="41" t="str">
        <x:v>address</x:v>
      </x:c>
      <x:c r="G7" s="41" t="str">
        <x:v>空欄はNULL</x:v>
      </x:c>
      <x:c r="H7" s="41" t="str">
        <x:v>既存Customer validationに従う</x:v>
      </x:c>
      <x:c r="I7" s="41" t="str">
        <x:v>AES-256-GCM</x:v>
      </x:c>
      <x:c r="J7" s="41" t="str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41" t="str">
        <x:v>顧客区分コード</x:v>
      </x:c>
      <x:c r="B8" s="41" t="str">
        <x:v>旧Excelの区分コード</x:v>
      </x:c>
      <x:c r="C8" s="41" t="str">
        <x:v>文字列</x:v>
      </x:c>
      <x:c r="D8" s="41" t="str">
        <x:v>任意</x:v>
      </x:c>
      <x:c r="E8" s="41" t="str">
        <x:v>A</x:v>
      </x:c>
      <x:c r="F8" s="41" t="str">
        <x:v>category</x:v>
      </x:c>
      <x:c r="G8" s="41" t="str">
        <x:v>カテゴリマスタで名称へ変換</x:v>
      </x:c>
      <x:c r="H8" s="41" t="str">
        <x:v>A/B/C/Dのみ</x:v>
      </x:c>
      <x:c r="I8" s="41" t="str">
        <x:v>なし</x:v>
      </x:c>
      <x:c r="J8" s="41" t="str">
        <x:v>未知コードはreject候補</x:v>
      </x:c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41" t="str">
        <x:v>担当者メール</x:v>
      </x:c>
      <x:c r="B9" s="41" t="str">
        <x:v>現行usersとの対応キー</x:v>
      </x:c>
      <x:c r="C9" s="41" t="str">
        <x:v>文字列</x:v>
      </x:c>
      <x:c r="D9" s="41" t="str">
        <x:v>必須</x:v>
      </x:c>
      <x:c r="E9" s="41" t="str">
        <x:v>staff01@example.test</x:v>
      </x:c>
      <x:c r="F9" s="41" t="str">
        <x:v>owner_user_id</x:v>
      </x:c>
      <x:c r="G9" s="41" t="str">
        <x:v>users.email完全一致でusers.idへmapping</x:v>
      </x:c>
      <x:c r="H9" s="41" t="str">
        <x:v>active userとの対応を確認</x:v>
      </x:c>
      <x:c r="I9" s="41" t="str">
        <x:v>なし</x:v>
      </x:c>
      <x:c r="J9" s="41" t="str">
        <x:v>一意な業務キーとして利用</x:v>
      </x:c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41" t="str">
        <x:v>登録日時</x:v>
      </x:c>
      <x:c r="B10" s="41" t="str">
        <x:v>旧Excel登録日時</x:v>
      </x:c>
      <x:c r="C10" s="41" t="str">
        <x:v>日時</x:v>
      </x:c>
      <x:c r="D10" s="41" t="str">
        <x:v>必須</x:v>
      </x:c>
      <x:c r="E10" s="41" t="str">
        <x:v>2025-01-16 09:00</x:v>
      </x:c>
      <x:c r="F10" s="41" t="str">
        <x:v>created_at</x:v>
      </x:c>
      <x:c r="G10" s="41" t="str">
        <x:v>timezoneは移行仕様で確定</x:v>
      </x:c>
      <x:c r="H10" s="41" t="str">
        <x:v>日時として解釈可能</x:v>
      </x:c>
      <x:c r="I10" s="41" t="str">
        <x:v>なし</x:v>
      </x:c>
      <x:c r="J10" s="41" t="str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41" t="str">
        <x:v>更新日時</x:v>
      </x:c>
      <x:c r="B11" s="41" t="str">
        <x:v>旧Excel最終更新日時</x:v>
      </x:c>
      <x:c r="C11" s="41" t="str">
        <x:v>日時</x:v>
      </x:c>
      <x:c r="D11" s="41" t="str">
        <x:v>必須</x:v>
      </x:c>
      <x:c r="E11" s="41" t="str">
        <x:v>2025-01-17 09:00</x:v>
      </x:c>
      <x:c r="F11" s="41" t="str">
        <x:v>updated_at</x:v>
      </x:c>
      <x:c r="G11" s="41" t="str">
        <x:v>timezoneは移行仕様で確定</x:v>
      </x:c>
      <x:c r="H11" s="41" t="str">
        <x:v>created_at以上を確認</x:v>
      </x:c>
      <x:c r="I11" s="41" t="str">
        <x:v>なし</x:v>
      </x:c>
      <x:c r="J11" s="41" t="str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41" t="str">
        <x:v>削除フラグ</x:v>
      </x:c>
      <x:c r="B12" s="41" t="str">
        <x:v>論理削除状態</x:v>
      </x:c>
      <x:c r="C12" s="41" t="str">
        <x:v>数値</x:v>
      </x:c>
      <x:c r="D12" s="41" t="str">
        <x:v>必須</x:v>
      </x:c>
      <x:c r="E12" s="41" t="str">
        <x:v>0 / 1</x:v>
      </x:c>
      <x:c r="F12" s="41" t="str">
        <x:v>deleted_at</x:v>
      </x:c>
      <x:c r="G12" s="41" t="str">
        <x:v>0→NULL、1→削除日時</x:v>
      </x:c>
      <x:c r="H12" s="41" t="str">
        <x:v>0/1のみ</x:v>
      </x:c>
      <x:c r="I12" s="41" t="str">
        <x:v>なし</x:v>
      </x:c>
      <x:c r="J12" s="41" t="str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41" t="str">
        <x:v>削除日時</x:v>
      </x:c>
      <x:c r="B13" s="41" t="str">
        <x:v>論理削除日時</x:v>
      </x:c>
      <x:c r="C13" s="41" t="str">
        <x:v>日時</x:v>
      </x:c>
      <x:c r="D13" s="41" t="str">
        <x:v>条件付必須</x:v>
      </x:c>
      <x:c r="E13" s="41" t="str">
        <x:v>2025-02-01 09:00</x:v>
      </x:c>
      <x:c r="F13" s="41" t="str">
        <x:v>deleted_at</x:v>
      </x:c>
      <x:c r="G13" s="41" t="str">
        <x:v>削除フラグ=1時に設定</x:v>
      </x:c>
      <x:c r="H13" s="41" t="str">
        <x:v>flagと整合</x:v>
      </x:c>
      <x:c r="I13" s="41" t="str">
        <x:v>なし</x:v>
      </x:c>
      <x:c r="J13" s="41" t="str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41" t="str">
        <x:v>備考</x:v>
      </x:c>
      <x:c r="B14" s="41" t="str">
        <x:v>移行確認用の旧Excel備考</x:v>
      </x:c>
      <x:c r="C14" s="41" t="str">
        <x:v>文字列</x:v>
      </x:c>
      <x:c r="D14" s="41" t="str">
        <x:v>任意</x:v>
      </x:c>
      <x:c r="E14" s="41" t="str">
        <x:v>通常データ</x:v>
      </x:c>
      <x:c r="F14" s="41" t="str">
        <x:v>移行対象外</x:v>
      </x:c>
      <x:c r="G14" s="41" t="str">
        <x:v>Targetへ保存しない</x:v>
      </x:c>
      <x:c r="H14" s="41" t="str">
        <x:v>なし</x:v>
      </x:c>
      <x:c r="I14" s="41" t="str">
        <x:v>なし</x:v>
      </x:c>
      <x:c r="J14" s="41" t="str">
        <x:v>演習上の異常データ説明にも使用</x:v>
      </x:c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</x:sheetData>
  <x:pageMargins left="0.7" right="0.7" top="0.75" bottom="0.75" header="0.3" footer="0.3"/>
  <x:tableParts count="1">
    <x:tablePart xmlns:r="http://schemas.openxmlformats.org/officeDocument/2006/relationships" r:id="R7e35e87375ca448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28" hidden="0" customWidth="1"/>
    <x:col min="4" max="4" width="28" hidden="0" customWidth="1"/>
    <x:col min="5" max="5" width="38" hidden="0" customWidth="1"/>
  </x:cols>
  <x:sheetData>
    <x:row r="1">
      <x:c r="A1" s="40" t="str">
        <x:v>ケース</x:v>
      </x:c>
      <x:c r="B1" s="40" t="str">
        <x:v>Source顧客番号</x:v>
      </x:c>
      <x:c r="C1" s="40" t="str">
        <x:v>想定論点</x:v>
      </x:c>
      <x:c r="D1" s="40" t="str">
        <x:v>移行時の期待</x:v>
      </x:c>
      <x:c r="E1" s="40" t="str">
        <x:v>備考</x:v>
      </x:c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41" t="str">
        <x:v>CASE-01</x:v>
      </x:c>
      <x:c r="B2" s="41" t="str">
        <x:v>CUST-0033</x:v>
      </x:c>
      <x:c r="C2" s="41" t="str">
        <x:v>必須field欠落</x:v>
      </x:c>
      <x:c r="D2" s="41" t="str">
        <x:v>reject</x:v>
      </x:c>
      <x:c r="E2" s="41" t="str">
        <x:v>顧客名が空欄</x:v>
      </x:c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41" t="str">
        <x:v>CASE-02</x:v>
      </x:c>
      <x:c r="B3" s="41" t="str">
        <x:v>CUST-0034</x:v>
      </x:c>
      <x:c r="C3" s="41" t="str">
        <x:v>メール形式不正</x:v>
      </x:c>
      <x:c r="D3" s="41" t="str">
        <x:v>reject</x:v>
      </x:c>
      <x:c r="E3" s="41" t="str">
        <x:v>email validation</x:v>
      </x:c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1" t="str">
        <x:v>CASE-03</x:v>
      </x:c>
      <x:c r="B4" s="41" t="str">
        <x:v>CUST-0035</x:v>
      </x:c>
      <x:c r="C4" s="41" t="str">
        <x:v>owner mapping失敗</x:v>
      </x:c>
      <x:c r="D4" s="41" t="str">
        <x:v>reject</x:v>
      </x:c>
      <x:c r="E4" s="41" t="str">
        <x:v>担当者メールがusersに存在しない想定</x:v>
      </x:c>
      <x:c r="F4" s="39"/>
      <x:c r="G4" s="39"/>
      <x:c r="H4" s="39"/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1" t="str">
        <x:v>CASE-04</x:v>
      </x:c>
      <x:c r="B5" s="41" t="str">
        <x:v>CUST-0036</x:v>
      </x:c>
      <x:c r="C5" s="41" t="str">
        <x:v>category mapping失敗</x:v>
      </x:c>
      <x:c r="D5" s="41" t="str">
        <x:v>reject</x:v>
      </x:c>
      <x:c r="E5" s="41" t="str">
        <x:v>カテゴリコードZ</x:v>
      </x:c>
      <x:c r="F5" s="39"/>
      <x:c r="G5" s="39"/>
      <x:c r="H5" s="39"/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1" t="str">
        <x:v>CASE-05</x:v>
      </x:c>
      <x:c r="B6" s="41" t="str">
        <x:v>CUST-0008</x:v>
      </x:c>
      <x:c r="C6" s="41" t="str">
        <x:v>Source識別子重複</x:v>
      </x:c>
      <x:c r="D6" s="41" t="str">
        <x:v>T-005で重複方針を確定</x:v>
      </x:c>
      <x:c r="E6" s="41" t="str">
        <x:v>Source内に同じ顧客番号が2行</x:v>
      </x:c>
      <x:c r="F6" s="39"/>
      <x:c r="G6" s="39"/>
      <x:c r="H6" s="39"/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1" t="str">
        <x:v>CASE-06</x:v>
      </x:c>
      <x:c r="B7" s="41" t="str">
        <x:v>CUST-0038</x:v>
      </x:c>
      <x:c r="C7" s="41" t="str">
        <x:v>削除flag/date不整合</x:v>
      </x:c>
      <x:c r="D7" s="41" t="str">
        <x:v>reject候補</x:v>
      </x:c>
      <x:c r="E7" s="41" t="str">
        <x:v>flag=1 / date=NULL</x:v>
      </x:c>
      <x:c r="F7" s="39"/>
      <x:c r="G7" s="39"/>
      <x:c r="H7" s="39"/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41" t="str">
        <x:v>CASE-07</x:v>
      </x:c>
      <x:c r="B8" s="41" t="str">
        <x:v>CUST-0039</x:v>
      </x:c>
      <x:c r="C8" s="41" t="str">
        <x:v>削除flag/date不整合</x:v>
      </x:c>
      <x:c r="D8" s="41" t="str">
        <x:v>reject候補</x:v>
      </x:c>
      <x:c r="E8" s="41" t="str">
        <x:v>flag=0 / dateあり</x:v>
      </x:c>
      <x:c r="F8" s="39"/>
      <x:c r="G8" s="39"/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41" t="str">
        <x:v>CASE-08</x:v>
      </x:c>
      <x:c r="B9" s="41" t="str">
        <x:v>CUST-0040</x:v>
      </x:c>
      <x:c r="C9" s="41" t="str">
        <x:v>owner必須欠落</x:v>
      </x:c>
      <x:c r="D9" s="41" t="str">
        <x:v>reject</x:v>
      </x:c>
      <x:c r="E9" s="41" t="str">
        <x:v>担当者メール空欄</x:v>
      </x:c>
      <x:c r="F9" s="39"/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39"/>
      <x:c r="B10" s="39"/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</x:sheetData>
  <x:conditionalFormatting sqref="D2:D9">
    <x:cfRule type="expression" dxfId="0" priority="1">
      <x:formula>OR(D2="reject",D2="reject候補")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fd6dfa5d779484f"/>
  </x:tableParts>
</x:worksheet>
</file>